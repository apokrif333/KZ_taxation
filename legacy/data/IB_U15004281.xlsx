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postProcessed\"/>
    </mc:Choice>
  </mc:AlternateContent>
  <xr:revisionPtr revIDLastSave="0" documentId="13_ncr:1_{393CD67B-FBA7-4DA2-B5EA-F8BF7285BC34}" xr6:coauthVersionLast="47" xr6:coauthVersionMax="47" xr10:uidLastSave="{00000000-0000-0000-0000-000000000000}"/>
  <bookViews>
    <workbookView xWindow="-28920" yWindow="-120" windowWidth="29040" windowHeight="16440" activeTab="4" xr2:uid="{00000000-000D-0000-FFFF-FFFF00000000}"/>
  </bookViews>
  <sheets>
    <sheet name="FinInfo" sheetId="1" r:id="rId1"/>
    <sheet name="Dividend" sheetId="2" r:id="rId2"/>
    <sheet name="Fifo" sheetId="3" r:id="rId3"/>
    <sheet name="Trades" sheetId="4" r:id="rId4"/>
    <sheet name="Positions" sheetId="5" r:id="rId5"/>
    <sheet name="Deposits" sheetId="6" r:id="rId6"/>
    <sheet name="Years_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9" i="5" l="1"/>
</calcChain>
</file>

<file path=xl/sharedStrings.xml><?xml version="1.0" encoding="utf-8"?>
<sst xmlns="http://schemas.openxmlformats.org/spreadsheetml/2006/main" count="370" uniqueCount="110">
  <si>
    <t>Financial Instrument Information</t>
  </si>
  <si>
    <t>Header</t>
  </si>
  <si>
    <t>Asset Category</t>
  </si>
  <si>
    <t>Symbol</t>
  </si>
  <si>
    <t>Description</t>
  </si>
  <si>
    <t>Conid</t>
  </si>
  <si>
    <t>Security ID</t>
  </si>
  <si>
    <t>Underlying</t>
  </si>
  <si>
    <t>Listing Exch</t>
  </si>
  <si>
    <t>Multiplier</t>
  </si>
  <si>
    <t>Type</t>
  </si>
  <si>
    <t>Code</t>
  </si>
  <si>
    <t>Year</t>
  </si>
  <si>
    <t>Expiry</t>
  </si>
  <si>
    <t>Delivery Month</t>
  </si>
  <si>
    <t>Strike</t>
  </si>
  <si>
    <t>CUSIP</t>
  </si>
  <si>
    <t>Country</t>
  </si>
  <si>
    <t>Data</t>
  </si>
  <si>
    <t>Equity and Index Options</t>
  </si>
  <si>
    <t>TMF   241004C00061000</t>
  </si>
  <si>
    <t>TMF 04OCT24 61 C</t>
  </si>
  <si>
    <t>724787737</t>
  </si>
  <si>
    <t>TMF</t>
  </si>
  <si>
    <t>CBOE</t>
  </si>
  <si>
    <t>C</t>
  </si>
  <si>
    <t>2024-10-04</t>
  </si>
  <si>
    <t>2024-10</t>
  </si>
  <si>
    <t>61</t>
  </si>
  <si>
    <t>US</t>
  </si>
  <si>
    <t>TMF   250815C00060000</t>
  </si>
  <si>
    <t>TMF 15AUG25 60 C</t>
  </si>
  <si>
    <t>749989098</t>
  </si>
  <si>
    <t>2025-08-15</t>
  </si>
  <si>
    <t>2025-08</t>
  </si>
  <si>
    <t>60</t>
  </si>
  <si>
    <t>Stocks</t>
  </si>
  <si>
    <t>KSPI</t>
  </si>
  <si>
    <t>JSC KASPI.KZ ADR</t>
  </si>
  <si>
    <t>679110496</t>
  </si>
  <si>
    <t>US48581R2058</t>
  </si>
  <si>
    <t>NASDAQ</t>
  </si>
  <si>
    <t>ADR</t>
  </si>
  <si>
    <t>48581R205</t>
  </si>
  <si>
    <t>DRX DLY 20+ YR TREAS BULL 3X</t>
  </si>
  <si>
    <t>665380902</t>
  </si>
  <si>
    <t>US25460G1388</t>
  </si>
  <si>
    <t>ARCA</t>
  </si>
  <si>
    <t>ETF</t>
  </si>
  <si>
    <t>25460G138</t>
  </si>
  <si>
    <t>Dividends</t>
  </si>
  <si>
    <t>Currency</t>
  </si>
  <si>
    <t>Date_Time</t>
  </si>
  <si>
    <t>Isin</t>
  </si>
  <si>
    <t>Amount</t>
  </si>
  <si>
    <t>Withhold</t>
  </si>
  <si>
    <t>TaxLoad</t>
  </si>
  <si>
    <t>IsliquidKASE</t>
  </si>
  <si>
    <t>KZT</t>
  </si>
  <si>
    <t>Amount_KZT</t>
  </si>
  <si>
    <t>OnlyProfit</t>
  </si>
  <si>
    <t>OnlyProfit_KZT</t>
  </si>
  <si>
    <t>OP_KZcorrect</t>
  </si>
  <si>
    <t>Withhold_KZT</t>
  </si>
  <si>
    <t>Tax</t>
  </si>
  <si>
    <t>Tax_KZT</t>
  </si>
  <si>
    <t>Tax_KZT_Withhold</t>
  </si>
  <si>
    <t>USD</t>
  </si>
  <si>
    <t>Asset</t>
  </si>
  <si>
    <t>Position_Type</t>
  </si>
  <si>
    <t>Enter_Date</t>
  </si>
  <si>
    <t>Enter_Price</t>
  </si>
  <si>
    <t>Exit_Date</t>
  </si>
  <si>
    <t>Exit_Price</t>
  </si>
  <si>
    <t>Quantity</t>
  </si>
  <si>
    <t>Commission</t>
  </si>
  <si>
    <t>PnL</t>
  </si>
  <si>
    <t>Comment</t>
  </si>
  <si>
    <t>PnL_KZT</t>
  </si>
  <si>
    <t>short</t>
  </si>
  <si>
    <t>Trades</t>
  </si>
  <si>
    <t>DataDiscriminator</t>
  </si>
  <si>
    <t>Asset_Category</t>
  </si>
  <si>
    <t>T._Price</t>
  </si>
  <si>
    <t>Comm_Fee</t>
  </si>
  <si>
    <t>Basis</t>
  </si>
  <si>
    <t>Yield</t>
  </si>
  <si>
    <t>Security_ID</t>
  </si>
  <si>
    <t>Comm_Per_One</t>
  </si>
  <si>
    <t>Invest</t>
  </si>
  <si>
    <t>Order</t>
  </si>
  <si>
    <t>5836.0052</t>
  </si>
  <si>
    <t>5792.0052</t>
  </si>
  <si>
    <t>2851.5026</t>
  </si>
  <si>
    <t>8308.0035</t>
  </si>
  <si>
    <t>-108.600662</t>
  </si>
  <si>
    <t>108.605462</t>
  </si>
  <si>
    <t>-478.586576</t>
  </si>
  <si>
    <t>478.586576</t>
  </si>
  <si>
    <t>Price</t>
  </si>
  <si>
    <t>Qty</t>
  </si>
  <si>
    <t>Comm_per_one</t>
  </si>
  <si>
    <t>RegCountry</t>
  </si>
  <si>
    <t>покупка</t>
  </si>
  <si>
    <t>Interest</t>
  </si>
  <si>
    <t>USD Credit Interest for Sep-2024</t>
  </si>
  <si>
    <t>USD Credit Interest</t>
  </si>
  <si>
    <t>Yearly Trades</t>
  </si>
  <si>
    <t>Yearly Dividends</t>
  </si>
  <si>
    <t>Yearly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</si>
</sst>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C8EB5-84DA-4F28-A545-E8171BB75A2E}" name="Таблица1" displayName="Таблица1" ref="A1:T9" totalsRowShown="0" headerRowDxfId="4" headerRowBorderDxfId="6" tableBorderDxfId="7">
  <autoFilter ref="A1:T9" xr:uid="{BA7C8EB5-84DA-4F28-A545-E8171BB75A2E}"/>
  <sortState xmlns:xlrd2="http://schemas.microsoft.com/office/spreadsheetml/2017/richdata2" ref="A2:T9">
    <sortCondition ref="G1:G9"/>
  </sortState>
  <tableColumns count="20">
    <tableColumn id="1" xr3:uid="{AE20D697-77D0-40D7-80B8-4C7D9A8BB90C}" name="Trades"/>
    <tableColumn id="2" xr3:uid="{0F61F63E-FF02-4DEB-8AC1-9E387B8B31FA}" name="Header"/>
    <tableColumn id="3" xr3:uid="{E63BAF39-164A-459F-B624-8BB2658E81D1}" name="DataDiscriminator"/>
    <tableColumn id="4" xr3:uid="{EECAE30D-1C2B-489C-B3F7-6B3C70FE0751}" name="Asset_Category"/>
    <tableColumn id="5" xr3:uid="{CBEDAD55-22E6-4B7E-9361-ABAD7C8513BA}" name="Currency"/>
    <tableColumn id="6" xr3:uid="{3826B696-63B1-4382-9BBE-9AA2EC7A8C00}" name="Symbol"/>
    <tableColumn id="7" xr3:uid="{91826997-2C8C-4881-8057-56E372CB1D0A}" name="Date_Time" dataDxfId="5"/>
    <tableColumn id="8" xr3:uid="{E4A840F3-3068-48DE-B0A4-3070CE96A9D9}" name="Quantity"/>
    <tableColumn id="9" xr3:uid="{67908182-FDEF-4B2C-B36E-443F1A832638}" name="T._Price"/>
    <tableColumn id="10" xr3:uid="{B7AFE1AE-92C0-425C-9EBB-387DF9E5512A}" name="Comm_Fee"/>
    <tableColumn id="11" xr3:uid="{3BB9D93D-DBDA-4100-B1D1-22F6668AC9DA}" name="Basis"/>
    <tableColumn id="12" xr3:uid="{18B159B8-23B7-4004-AB31-7211CBDA4562}" name="Yield"/>
    <tableColumn id="13" xr3:uid="{1A17FFC4-1C7B-42B1-89DD-EB547C8EAB63}" name="Security_ID"/>
    <tableColumn id="14" xr3:uid="{E6D8C04B-51CC-4D0E-BD62-E39228483C5C}" name="Country"/>
    <tableColumn id="15" xr3:uid="{5349D5E4-D95D-46A6-A779-F21A377B7A2B}" name="Multiplier"/>
    <tableColumn id="16" xr3:uid="{371DB0C9-E7A8-416B-99C2-3A38CE406961}" name="Comm_Per_One"/>
    <tableColumn id="17" xr3:uid="{EB48676E-E2F0-4426-B61D-4F15805E502A}" name="Description"/>
    <tableColumn id="18" xr3:uid="{BDFB1CD4-3091-4E95-9AE4-175778ABBF1C}" name="Comment"/>
    <tableColumn id="19" xr3:uid="{2FEC7930-F524-480D-9779-AE2058558411}" name="KZT"/>
    <tableColumn id="20" xr3:uid="{C012732A-CA4F-4C72-A46C-CA9A96DF352E}" name="Inve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8C10C-8A26-4CB2-A48B-3592C2041075}" name="Таблица2" displayName="Таблица2" ref="A1:M8" totalsRowShown="0" headerRowDxfId="0" headerRowBorderDxfId="2" tableBorderDxfId="3">
  <autoFilter ref="A1:M8" xr:uid="{0008C10C-8A26-4CB2-A48B-3592C2041075}">
    <filterColumn colId="8">
      <filters>
        <filter val="2024"/>
      </filters>
    </filterColumn>
  </autoFilter>
  <tableColumns count="13">
    <tableColumn id="1" xr3:uid="{CEDCF41C-505A-4745-856C-CE1A53FA602B}" name="Asset"/>
    <tableColumn id="2" xr3:uid="{BED54C08-C076-4E9B-8C01-1A593AE4113F}" name="Symbol"/>
    <tableColumn id="3" xr3:uid="{15AFBAC5-827D-4E98-B850-E5D830F2CDB6}" name="Isin"/>
    <tableColumn id="4" xr3:uid="{1DDA93CB-EB93-483D-B067-44D7353ACEFF}" name="Currency"/>
    <tableColumn id="5" xr3:uid="{8FC9E3EB-9796-4103-B4BA-5EF37DFDEB88}" name="Country"/>
    <tableColumn id="6" xr3:uid="{6355B6B4-278E-4673-9BA5-57684B79E333}" name="Date_Time" dataDxfId="1"/>
    <tableColumn id="7" xr3:uid="{D27EC23A-FDBA-4B97-A54E-3162571F51F0}" name="Type"/>
    <tableColumn id="8" xr3:uid="{F26D290A-CC9E-4485-8E25-8FD6A7D8F841}" name="Price"/>
    <tableColumn id="9" xr3:uid="{02688325-8F6F-44C8-9C38-F7A05A82BF46}" name="Year"/>
    <tableColumn id="10" xr3:uid="{3D05A7FA-5B14-4B03-9D46-7466FADBD81C}" name="Qty"/>
    <tableColumn id="11" xr3:uid="{12FFAC34-F6B1-4896-B5D9-6FC606D25072}" name="Comm_per_one"/>
    <tableColumn id="12" xr3:uid="{897FD8B4-E88E-4410-829F-C98BCAADA726}" name="RegCountry"/>
    <tableColumn id="13" xr3:uid="{1015776F-83BE-4E49-9BF9-ED48F5C028EE}" name="KZ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H26" sqref="H2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>
        <v>100</v>
      </c>
      <c r="K2" t="s">
        <v>25</v>
      </c>
      <c r="M2">
        <v>2024</v>
      </c>
      <c r="N2" t="s">
        <v>26</v>
      </c>
      <c r="O2" t="s">
        <v>27</v>
      </c>
      <c r="P2" t="s">
        <v>28</v>
      </c>
      <c r="R2" t="s">
        <v>29</v>
      </c>
    </row>
    <row r="3" spans="1:18" x14ac:dyDescent="0.25">
      <c r="A3" t="s">
        <v>0</v>
      </c>
      <c r="B3" t="s">
        <v>18</v>
      </c>
      <c r="C3" t="s">
        <v>19</v>
      </c>
      <c r="D3" t="s">
        <v>30</v>
      </c>
      <c r="E3" t="s">
        <v>31</v>
      </c>
      <c r="F3" t="s">
        <v>32</v>
      </c>
      <c r="H3" t="s">
        <v>23</v>
      </c>
      <c r="I3" t="s">
        <v>24</v>
      </c>
      <c r="J3">
        <v>100</v>
      </c>
      <c r="K3" t="s">
        <v>25</v>
      </c>
      <c r="M3">
        <v>2025</v>
      </c>
      <c r="N3" t="s">
        <v>33</v>
      </c>
      <c r="O3" t="s">
        <v>34</v>
      </c>
      <c r="P3" t="s">
        <v>35</v>
      </c>
      <c r="R3" t="s">
        <v>29</v>
      </c>
    </row>
    <row r="4" spans="1:18" x14ac:dyDescent="0.25">
      <c r="A4" t="s">
        <v>0</v>
      </c>
      <c r="B4" t="s">
        <v>18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37</v>
      </c>
      <c r="I4" t="s">
        <v>41</v>
      </c>
      <c r="J4">
        <v>1</v>
      </c>
      <c r="K4" t="s">
        <v>42</v>
      </c>
      <c r="M4">
        <v>2025</v>
      </c>
      <c r="Q4" t="s">
        <v>43</v>
      </c>
      <c r="R4" t="s">
        <v>29</v>
      </c>
    </row>
    <row r="5" spans="1:18" x14ac:dyDescent="0.25">
      <c r="A5" t="s">
        <v>0</v>
      </c>
      <c r="B5" t="s">
        <v>18</v>
      </c>
      <c r="C5" t="s">
        <v>36</v>
      </c>
      <c r="D5" t="s">
        <v>23</v>
      </c>
      <c r="E5" t="s">
        <v>44</v>
      </c>
      <c r="F5" t="s">
        <v>45</v>
      </c>
      <c r="G5" t="s">
        <v>46</v>
      </c>
      <c r="H5" t="s">
        <v>23</v>
      </c>
      <c r="I5" t="s">
        <v>47</v>
      </c>
      <c r="J5">
        <v>1</v>
      </c>
      <c r="K5" t="s">
        <v>48</v>
      </c>
      <c r="M5">
        <v>2025</v>
      </c>
      <c r="Q5" t="s">
        <v>49</v>
      </c>
      <c r="R5" t="s">
        <v>29</v>
      </c>
    </row>
    <row r="6" spans="1:18" x14ac:dyDescent="0.25">
      <c r="A6" t="s">
        <v>0</v>
      </c>
      <c r="B6" t="s">
        <v>18</v>
      </c>
      <c r="C6" t="s">
        <v>36</v>
      </c>
      <c r="D6" t="s">
        <v>23</v>
      </c>
      <c r="E6" t="s">
        <v>44</v>
      </c>
      <c r="F6" t="s">
        <v>45</v>
      </c>
      <c r="G6" t="s">
        <v>46</v>
      </c>
      <c r="H6" t="s">
        <v>23</v>
      </c>
      <c r="I6" t="s">
        <v>47</v>
      </c>
      <c r="J6">
        <v>1</v>
      </c>
      <c r="K6" t="s">
        <v>48</v>
      </c>
      <c r="M6">
        <v>2024</v>
      </c>
      <c r="Q6" t="s">
        <v>49</v>
      </c>
      <c r="R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"/>
  <sheetViews>
    <sheetView workbookViewId="0"/>
  </sheetViews>
  <sheetFormatPr defaultRowHeight="15" x14ac:dyDescent="0.25"/>
  <sheetData>
    <row r="1" spans="1:20" x14ac:dyDescent="0.25">
      <c r="A1" s="1" t="s">
        <v>50</v>
      </c>
      <c r="B1" s="1" t="s">
        <v>1</v>
      </c>
      <c r="C1" s="1" t="s">
        <v>51</v>
      </c>
      <c r="D1" s="1" t="s">
        <v>52</v>
      </c>
      <c r="E1" s="1" t="s">
        <v>3</v>
      </c>
      <c r="F1" s="1" t="s">
        <v>53</v>
      </c>
      <c r="G1" s="1" t="s">
        <v>17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 x14ac:dyDescent="0.25">
      <c r="A2" t="s">
        <v>50</v>
      </c>
      <c r="B2" t="s">
        <v>18</v>
      </c>
      <c r="C2" t="s">
        <v>67</v>
      </c>
      <c r="D2" s="2">
        <v>45657</v>
      </c>
      <c r="E2" t="s">
        <v>23</v>
      </c>
      <c r="F2" t="s">
        <v>46</v>
      </c>
      <c r="G2" t="s">
        <v>29</v>
      </c>
      <c r="H2">
        <v>131.07</v>
      </c>
      <c r="I2">
        <v>-19.66</v>
      </c>
      <c r="J2">
        <v>0.14999618524452579</v>
      </c>
      <c r="K2">
        <v>0</v>
      </c>
      <c r="L2">
        <v>523.54</v>
      </c>
      <c r="M2">
        <v>68620.387799999997</v>
      </c>
      <c r="N2">
        <v>131.07</v>
      </c>
      <c r="O2">
        <v>68620.387799999997</v>
      </c>
      <c r="P2">
        <v>0</v>
      </c>
      <c r="Q2">
        <v>-10292.796399999999</v>
      </c>
      <c r="R2">
        <v>13.106999999999999</v>
      </c>
      <c r="S2">
        <v>6862.0387799999999</v>
      </c>
      <c r="T2">
        <v>0</v>
      </c>
    </row>
    <row r="3" spans="1:20" x14ac:dyDescent="0.25">
      <c r="A3" t="s">
        <v>50</v>
      </c>
      <c r="B3" t="s">
        <v>18</v>
      </c>
      <c r="C3" t="s">
        <v>67</v>
      </c>
      <c r="D3" s="2">
        <v>45748</v>
      </c>
      <c r="E3" t="s">
        <v>23</v>
      </c>
      <c r="F3" t="s">
        <v>46</v>
      </c>
      <c r="G3" t="s">
        <v>29</v>
      </c>
      <c r="H3">
        <v>71.97</v>
      </c>
      <c r="I3">
        <v>-10.8</v>
      </c>
      <c r="J3">
        <v>0.15006252605252191</v>
      </c>
      <c r="K3">
        <v>0</v>
      </c>
      <c r="L3">
        <v>504.44</v>
      </c>
      <c r="M3">
        <v>36304.546799999996</v>
      </c>
      <c r="N3">
        <v>71.97</v>
      </c>
      <c r="O3">
        <v>36304.546799999996</v>
      </c>
      <c r="P3">
        <v>0</v>
      </c>
      <c r="Q3">
        <v>-5447.9520000000002</v>
      </c>
      <c r="R3">
        <v>7.1970000000000001</v>
      </c>
      <c r="S3">
        <v>3630.4546799999998</v>
      </c>
      <c r="T3">
        <v>0</v>
      </c>
    </row>
    <row r="4" spans="1:20" x14ac:dyDescent="0.25">
      <c r="A4" t="s">
        <v>50</v>
      </c>
      <c r="B4" t="s">
        <v>18</v>
      </c>
      <c r="C4" t="s">
        <v>67</v>
      </c>
      <c r="D4" s="2">
        <v>45839</v>
      </c>
      <c r="E4" t="s">
        <v>23</v>
      </c>
      <c r="F4" t="s">
        <v>46</v>
      </c>
      <c r="G4" t="s">
        <v>29</v>
      </c>
      <c r="H4">
        <v>90.42</v>
      </c>
      <c r="I4">
        <v>-13.56</v>
      </c>
      <c r="J4">
        <v>0.1499668214996682</v>
      </c>
      <c r="K4">
        <v>0</v>
      </c>
      <c r="L4">
        <v>519.64</v>
      </c>
      <c r="M4">
        <v>46985.8488</v>
      </c>
      <c r="N4">
        <v>90.42</v>
      </c>
      <c r="O4">
        <v>46985.8488</v>
      </c>
      <c r="P4">
        <v>0</v>
      </c>
      <c r="Q4">
        <v>-7046.3183999999992</v>
      </c>
      <c r="R4">
        <v>9.0419999999999998</v>
      </c>
      <c r="S4">
        <v>4698.5848800000003</v>
      </c>
      <c r="T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workbookViewId="0"/>
  </sheetViews>
  <sheetFormatPr defaultRowHeight="15" x14ac:dyDescent="0.25"/>
  <sheetData>
    <row r="1" spans="1:20" x14ac:dyDescent="0.25">
      <c r="A1" s="1" t="s">
        <v>68</v>
      </c>
      <c r="B1" s="1" t="s">
        <v>3</v>
      </c>
      <c r="C1" s="1" t="s">
        <v>53</v>
      </c>
      <c r="D1" s="1" t="s">
        <v>51</v>
      </c>
      <c r="E1" s="1" t="s">
        <v>17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58</v>
      </c>
      <c r="P1" s="1" t="s">
        <v>78</v>
      </c>
      <c r="Q1" s="1" t="s">
        <v>60</v>
      </c>
      <c r="R1" s="1" t="s">
        <v>61</v>
      </c>
      <c r="S1" s="1" t="s">
        <v>65</v>
      </c>
      <c r="T1" s="1" t="s">
        <v>4</v>
      </c>
    </row>
    <row r="2" spans="1:20" x14ac:dyDescent="0.25">
      <c r="A2" t="s">
        <v>19</v>
      </c>
      <c r="B2" t="s">
        <v>21</v>
      </c>
      <c r="C2" t="s">
        <v>21</v>
      </c>
      <c r="D2" t="s">
        <v>67</v>
      </c>
      <c r="E2" t="s">
        <v>29</v>
      </c>
      <c r="F2" t="s">
        <v>79</v>
      </c>
      <c r="G2" s="2">
        <v>45566.397974537038</v>
      </c>
      <c r="H2">
        <v>0.55000000000000004</v>
      </c>
      <c r="I2" s="2">
        <v>45569.680555555547</v>
      </c>
      <c r="J2">
        <v>0</v>
      </c>
      <c r="K2">
        <v>200</v>
      </c>
      <c r="L2">
        <v>-1.399338</v>
      </c>
      <c r="M2">
        <v>110</v>
      </c>
      <c r="O2">
        <v>482.86</v>
      </c>
      <c r="P2">
        <v>53114.600000000013</v>
      </c>
      <c r="Q2">
        <v>110</v>
      </c>
      <c r="R2">
        <v>53114.600000000013</v>
      </c>
      <c r="S2">
        <v>5311.4600000000009</v>
      </c>
    </row>
    <row r="3" spans="1:20" x14ac:dyDescent="0.25">
      <c r="A3" t="s">
        <v>19</v>
      </c>
      <c r="B3" t="s">
        <v>31</v>
      </c>
      <c r="C3" t="s">
        <v>31</v>
      </c>
      <c r="D3" t="s">
        <v>67</v>
      </c>
      <c r="E3" t="s">
        <v>29</v>
      </c>
      <c r="F3" t="s">
        <v>79</v>
      </c>
      <c r="G3" s="2">
        <v>45751.561793981477</v>
      </c>
      <c r="H3">
        <v>2.4</v>
      </c>
      <c r="I3" s="2">
        <v>45884.680555555547</v>
      </c>
      <c r="J3">
        <v>0</v>
      </c>
      <c r="K3">
        <v>200</v>
      </c>
      <c r="L3">
        <v>-1.413424</v>
      </c>
      <c r="M3">
        <v>480</v>
      </c>
      <c r="Q3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G30" sqref="G30:H31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21.5703125" bestFit="1" customWidth="1"/>
    <col min="4" max="4" width="23.5703125" bestFit="1" customWidth="1"/>
    <col min="5" max="5" width="13.42578125" bestFit="1" customWidth="1"/>
    <col min="6" max="6" width="17.28515625" bestFit="1" customWidth="1"/>
    <col min="7" max="7" width="18.28515625" bestFit="1" customWidth="1"/>
    <col min="8" max="8" width="13.28515625" bestFit="1" customWidth="1"/>
    <col min="9" max="9" width="12.5703125" bestFit="1" customWidth="1"/>
    <col min="10" max="10" width="15.5703125" bestFit="1" customWidth="1"/>
    <col min="11" max="11" width="11.28515625" bestFit="1" customWidth="1"/>
    <col min="12" max="12" width="10.140625" bestFit="1" customWidth="1"/>
    <col min="13" max="13" width="17.28515625" bestFit="1" customWidth="1"/>
    <col min="14" max="14" width="12.5703125" bestFit="1" customWidth="1"/>
    <col min="15" max="15" width="14.5703125" bestFit="1" customWidth="1"/>
    <col min="16" max="16" width="20.140625" bestFit="1" customWidth="1"/>
    <col min="17" max="17" width="17.28515625" bestFit="1" customWidth="1"/>
    <col min="18" max="18" width="14.28515625" bestFit="1" customWidth="1"/>
    <col min="19" max="19" width="8.7109375" bestFit="1" customWidth="1"/>
    <col min="20" max="20" width="11" bestFit="1" customWidth="1"/>
  </cols>
  <sheetData>
    <row r="1" spans="1:20" x14ac:dyDescent="0.25">
      <c r="A1" s="6" t="s">
        <v>80</v>
      </c>
      <c r="B1" s="6" t="s">
        <v>1</v>
      </c>
      <c r="C1" s="6" t="s">
        <v>81</v>
      </c>
      <c r="D1" s="6" t="s">
        <v>82</v>
      </c>
      <c r="E1" s="6" t="s">
        <v>51</v>
      </c>
      <c r="F1" s="6" t="s">
        <v>3</v>
      </c>
      <c r="G1" s="6" t="s">
        <v>52</v>
      </c>
      <c r="H1" s="6" t="s">
        <v>74</v>
      </c>
      <c r="I1" s="6" t="s">
        <v>83</v>
      </c>
      <c r="J1" s="6" t="s">
        <v>84</v>
      </c>
      <c r="K1" s="6" t="s">
        <v>85</v>
      </c>
      <c r="L1" s="6" t="s">
        <v>86</v>
      </c>
      <c r="M1" s="6" t="s">
        <v>87</v>
      </c>
      <c r="N1" s="6" t="s">
        <v>17</v>
      </c>
      <c r="O1" s="6" t="s">
        <v>9</v>
      </c>
      <c r="P1" s="6" t="s">
        <v>88</v>
      </c>
      <c r="Q1" s="6" t="s">
        <v>4</v>
      </c>
      <c r="R1" s="6" t="s">
        <v>77</v>
      </c>
      <c r="S1" s="6" t="s">
        <v>58</v>
      </c>
      <c r="T1" s="6" t="s">
        <v>89</v>
      </c>
    </row>
    <row r="2" spans="1:20" x14ac:dyDescent="0.25">
      <c r="A2" t="s">
        <v>80</v>
      </c>
      <c r="B2" t="s">
        <v>18</v>
      </c>
      <c r="C2" t="s">
        <v>90</v>
      </c>
      <c r="D2" t="s">
        <v>36</v>
      </c>
      <c r="E2" t="s">
        <v>67</v>
      </c>
      <c r="F2" t="s">
        <v>23</v>
      </c>
      <c r="G2" s="2">
        <v>45560.292025462964</v>
      </c>
      <c r="H2">
        <v>100</v>
      </c>
      <c r="I2">
        <v>58.35</v>
      </c>
      <c r="J2">
        <v>-1.0052000000000001</v>
      </c>
      <c r="K2" t="s">
        <v>91</v>
      </c>
      <c r="M2" t="s">
        <v>46</v>
      </c>
      <c r="N2" t="s">
        <v>29</v>
      </c>
      <c r="O2">
        <v>1</v>
      </c>
      <c r="P2">
        <v>-1.0052E-2</v>
      </c>
      <c r="S2">
        <v>479.71</v>
      </c>
      <c r="T2">
        <v>5835</v>
      </c>
    </row>
    <row r="3" spans="1:20" x14ac:dyDescent="0.25">
      <c r="A3" t="s">
        <v>80</v>
      </c>
      <c r="B3" t="s">
        <v>18</v>
      </c>
      <c r="C3" t="s">
        <v>90</v>
      </c>
      <c r="D3" t="s">
        <v>36</v>
      </c>
      <c r="E3" t="s">
        <v>67</v>
      </c>
      <c r="F3" t="s">
        <v>23</v>
      </c>
      <c r="G3" s="2">
        <v>45560.346342592587</v>
      </c>
      <c r="H3">
        <v>100</v>
      </c>
      <c r="I3">
        <v>57.91</v>
      </c>
      <c r="J3">
        <v>-1.0052000000000001</v>
      </c>
      <c r="K3" t="s">
        <v>92</v>
      </c>
      <c r="M3" t="s">
        <v>46</v>
      </c>
      <c r="N3" t="s">
        <v>29</v>
      </c>
      <c r="O3">
        <v>1</v>
      </c>
      <c r="P3">
        <v>-1.0052E-2</v>
      </c>
      <c r="S3">
        <v>479.71</v>
      </c>
      <c r="T3">
        <v>5791</v>
      </c>
    </row>
    <row r="4" spans="1:20" x14ac:dyDescent="0.25">
      <c r="A4" t="s">
        <v>80</v>
      </c>
      <c r="B4" t="s">
        <v>18</v>
      </c>
      <c r="C4" t="s">
        <v>90</v>
      </c>
      <c r="D4" t="s">
        <v>36</v>
      </c>
      <c r="E4" t="s">
        <v>67</v>
      </c>
      <c r="F4" t="s">
        <v>23</v>
      </c>
      <c r="G4" s="2">
        <v>45561.36105324074</v>
      </c>
      <c r="H4">
        <v>50</v>
      </c>
      <c r="I4">
        <v>57.01</v>
      </c>
      <c r="J4">
        <v>-1.0025999999999999</v>
      </c>
      <c r="K4" t="s">
        <v>93</v>
      </c>
      <c r="M4" t="s">
        <v>46</v>
      </c>
      <c r="N4" t="s">
        <v>29</v>
      </c>
      <c r="O4">
        <v>1</v>
      </c>
      <c r="P4">
        <v>-2.0052E-2</v>
      </c>
      <c r="S4">
        <v>478.16</v>
      </c>
      <c r="T4">
        <v>2850.5</v>
      </c>
    </row>
    <row r="5" spans="1:20" x14ac:dyDescent="0.25">
      <c r="A5" t="s">
        <v>80</v>
      </c>
      <c r="B5" t="s">
        <v>18</v>
      </c>
      <c r="C5" t="s">
        <v>90</v>
      </c>
      <c r="D5" t="s">
        <v>19</v>
      </c>
      <c r="E5" t="s">
        <v>67</v>
      </c>
      <c r="F5" t="s">
        <v>21</v>
      </c>
      <c r="G5" s="2">
        <v>45566.397974537038</v>
      </c>
      <c r="H5">
        <v>-200</v>
      </c>
      <c r="I5">
        <v>0.55000000000000004</v>
      </c>
      <c r="J5">
        <v>-1.399338</v>
      </c>
      <c r="K5" t="s">
        <v>95</v>
      </c>
      <c r="M5" t="s">
        <v>21</v>
      </c>
      <c r="N5" t="s">
        <v>29</v>
      </c>
      <c r="O5">
        <v>100</v>
      </c>
      <c r="P5">
        <v>-6.9966899999999999E-3</v>
      </c>
      <c r="Q5" t="s">
        <v>21</v>
      </c>
      <c r="S5">
        <v>481.19</v>
      </c>
      <c r="T5">
        <v>-110</v>
      </c>
    </row>
    <row r="6" spans="1:20" x14ac:dyDescent="0.25">
      <c r="A6" t="s">
        <v>80</v>
      </c>
      <c r="B6" t="s">
        <v>18</v>
      </c>
      <c r="C6" t="s">
        <v>90</v>
      </c>
      <c r="D6" t="s">
        <v>19</v>
      </c>
      <c r="E6" t="s">
        <v>67</v>
      </c>
      <c r="F6" t="s">
        <v>21</v>
      </c>
      <c r="G6" s="2">
        <v>45569.680555555547</v>
      </c>
      <c r="H6">
        <v>200</v>
      </c>
      <c r="I6">
        <v>0</v>
      </c>
      <c r="J6">
        <v>0</v>
      </c>
      <c r="K6" t="s">
        <v>96</v>
      </c>
      <c r="M6" t="s">
        <v>21</v>
      </c>
      <c r="N6" t="s">
        <v>29</v>
      </c>
      <c r="O6">
        <v>100</v>
      </c>
      <c r="P6">
        <v>0</v>
      </c>
      <c r="Q6" t="s">
        <v>21</v>
      </c>
      <c r="S6">
        <v>482.86</v>
      </c>
      <c r="T6">
        <v>0</v>
      </c>
    </row>
    <row r="7" spans="1:20" x14ac:dyDescent="0.25">
      <c r="A7" t="s">
        <v>80</v>
      </c>
      <c r="B7" t="s">
        <v>18</v>
      </c>
      <c r="C7" t="s">
        <v>90</v>
      </c>
      <c r="D7" t="s">
        <v>19</v>
      </c>
      <c r="E7" t="s">
        <v>67</v>
      </c>
      <c r="F7" t="s">
        <v>31</v>
      </c>
      <c r="G7" s="2">
        <v>45751.561793981477</v>
      </c>
      <c r="H7">
        <v>-200</v>
      </c>
      <c r="I7">
        <v>2.4</v>
      </c>
      <c r="J7">
        <v>-1.413424</v>
      </c>
      <c r="K7" t="s">
        <v>97</v>
      </c>
      <c r="M7" t="s">
        <v>31</v>
      </c>
      <c r="N7" t="s">
        <v>29</v>
      </c>
      <c r="O7">
        <v>100</v>
      </c>
      <c r="P7">
        <v>-7.0671199999999997E-3</v>
      </c>
      <c r="Q7" t="s">
        <v>31</v>
      </c>
      <c r="S7">
        <v>501.57</v>
      </c>
      <c r="T7">
        <v>-480</v>
      </c>
    </row>
    <row r="8" spans="1:20" x14ac:dyDescent="0.25">
      <c r="A8" t="s">
        <v>80</v>
      </c>
      <c r="B8" t="s">
        <v>18</v>
      </c>
      <c r="C8" t="s">
        <v>90</v>
      </c>
      <c r="D8" t="s">
        <v>36</v>
      </c>
      <c r="E8" t="s">
        <v>67</v>
      </c>
      <c r="F8" t="s">
        <v>37</v>
      </c>
      <c r="G8" s="2">
        <v>45751.600462962961</v>
      </c>
      <c r="H8">
        <v>100</v>
      </c>
      <c r="I8">
        <v>83.07</v>
      </c>
      <c r="J8">
        <v>-1.0035000000000001</v>
      </c>
      <c r="K8" t="s">
        <v>94</v>
      </c>
      <c r="M8" t="s">
        <v>40</v>
      </c>
      <c r="N8" t="s">
        <v>29</v>
      </c>
      <c r="O8">
        <v>1</v>
      </c>
      <c r="P8">
        <v>-1.0035000000000001E-2</v>
      </c>
      <c r="S8">
        <v>501.57</v>
      </c>
      <c r="T8">
        <v>8307</v>
      </c>
    </row>
    <row r="9" spans="1:20" x14ac:dyDescent="0.25">
      <c r="A9" t="s">
        <v>80</v>
      </c>
      <c r="B9" t="s">
        <v>18</v>
      </c>
      <c r="C9" t="s">
        <v>90</v>
      </c>
      <c r="D9" t="s">
        <v>19</v>
      </c>
      <c r="E9" t="s">
        <v>67</v>
      </c>
      <c r="F9" t="s">
        <v>31</v>
      </c>
      <c r="G9" s="2">
        <v>45884.680555555547</v>
      </c>
      <c r="H9">
        <v>200</v>
      </c>
      <c r="I9">
        <v>0</v>
      </c>
      <c r="J9">
        <v>0</v>
      </c>
      <c r="K9" t="s">
        <v>98</v>
      </c>
      <c r="M9" t="s">
        <v>31</v>
      </c>
      <c r="N9" t="s">
        <v>29</v>
      </c>
      <c r="O9">
        <v>100</v>
      </c>
      <c r="P9">
        <v>0</v>
      </c>
      <c r="Q9" t="s">
        <v>31</v>
      </c>
      <c r="T9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"/>
  <sheetViews>
    <sheetView tabSelected="1" workbookViewId="0">
      <selection activeCell="O4" sqref="O4"/>
    </sheetView>
  </sheetViews>
  <sheetFormatPr defaultRowHeight="15" x14ac:dyDescent="0.25"/>
  <cols>
    <col min="1" max="1" width="8" customWidth="1"/>
    <col min="2" max="2" width="9.7109375" customWidth="1"/>
    <col min="3" max="3" width="13.7109375" bestFit="1" customWidth="1"/>
    <col min="4" max="4" width="11" customWidth="1"/>
    <col min="5" max="5" width="10.140625" customWidth="1"/>
    <col min="6" max="6" width="12.7109375" customWidth="1"/>
    <col min="7" max="7" width="8.42578125" bestFit="1" customWidth="1"/>
    <col min="8" max="8" width="7.5703125" customWidth="1"/>
    <col min="9" max="9" width="7.140625" customWidth="1"/>
    <col min="10" max="10" width="6.28515625" customWidth="1"/>
    <col min="11" max="11" width="17.28515625" customWidth="1"/>
    <col min="12" max="12" width="13.42578125" customWidth="1"/>
    <col min="13" max="13" width="7" bestFit="1" customWidth="1"/>
  </cols>
  <sheetData>
    <row r="1" spans="1:16" x14ac:dyDescent="0.25">
      <c r="A1" s="6" t="s">
        <v>68</v>
      </c>
      <c r="B1" s="6" t="s">
        <v>3</v>
      </c>
      <c r="C1" s="6" t="s">
        <v>53</v>
      </c>
      <c r="D1" s="6" t="s">
        <v>51</v>
      </c>
      <c r="E1" s="6" t="s">
        <v>17</v>
      </c>
      <c r="F1" s="6" t="s">
        <v>52</v>
      </c>
      <c r="G1" s="6" t="s">
        <v>10</v>
      </c>
      <c r="H1" s="6" t="s">
        <v>99</v>
      </c>
      <c r="I1" s="6" t="s">
        <v>12</v>
      </c>
      <c r="J1" s="6" t="s">
        <v>100</v>
      </c>
      <c r="K1" s="6" t="s">
        <v>101</v>
      </c>
      <c r="L1" s="6" t="s">
        <v>102</v>
      </c>
      <c r="M1" s="6" t="s">
        <v>58</v>
      </c>
    </row>
    <row r="2" spans="1:16" x14ac:dyDescent="0.25">
      <c r="A2" t="s">
        <v>36</v>
      </c>
      <c r="B2" t="s">
        <v>23</v>
      </c>
      <c r="C2" t="s">
        <v>46</v>
      </c>
      <c r="D2" t="s">
        <v>67</v>
      </c>
      <c r="E2" t="s">
        <v>29</v>
      </c>
      <c r="F2" s="3">
        <v>45560</v>
      </c>
      <c r="G2" t="s">
        <v>103</v>
      </c>
      <c r="H2">
        <v>57.91</v>
      </c>
      <c r="I2">
        <v>2024</v>
      </c>
      <c r="J2">
        <v>100</v>
      </c>
      <c r="K2">
        <v>-1.0052E-2</v>
      </c>
      <c r="L2" t="s">
        <v>29</v>
      </c>
      <c r="M2">
        <v>479.71</v>
      </c>
      <c r="O2">
        <v>40.06</v>
      </c>
      <c r="P2">
        <f>(O2-Таблица2[[#This Row],[Price]])*Таблица2[[#This Row],[Qty]]</f>
        <v>-1784.9999999999995</v>
      </c>
    </row>
    <row r="3" spans="1:16" x14ac:dyDescent="0.25">
      <c r="A3" t="s">
        <v>36</v>
      </c>
      <c r="B3" t="s">
        <v>23</v>
      </c>
      <c r="C3" t="s">
        <v>46</v>
      </c>
      <c r="D3" t="s">
        <v>67</v>
      </c>
      <c r="E3" t="s">
        <v>29</v>
      </c>
      <c r="F3" s="3">
        <v>45560</v>
      </c>
      <c r="G3" t="s">
        <v>103</v>
      </c>
      <c r="H3">
        <v>58.35</v>
      </c>
      <c r="I3">
        <v>2024</v>
      </c>
      <c r="J3">
        <v>100</v>
      </c>
      <c r="K3">
        <v>-1.0052E-2</v>
      </c>
      <c r="L3" t="s">
        <v>29</v>
      </c>
      <c r="M3">
        <v>479.71</v>
      </c>
      <c r="O3">
        <v>40.06</v>
      </c>
      <c r="P3">
        <f>(O3-Таблица2[[#This Row],[Price]])*Таблица2[[#This Row],[Qty]]</f>
        <v>-1829</v>
      </c>
    </row>
    <row r="4" spans="1:16" x14ac:dyDescent="0.25">
      <c r="A4" t="s">
        <v>36</v>
      </c>
      <c r="B4" t="s">
        <v>23</v>
      </c>
      <c r="C4" t="s">
        <v>46</v>
      </c>
      <c r="D4" t="s">
        <v>67</v>
      </c>
      <c r="E4" t="s">
        <v>29</v>
      </c>
      <c r="F4" s="3">
        <v>45561</v>
      </c>
      <c r="G4" t="s">
        <v>103</v>
      </c>
      <c r="H4">
        <v>57.01</v>
      </c>
      <c r="I4">
        <v>2024</v>
      </c>
      <c r="J4">
        <v>50</v>
      </c>
      <c r="K4">
        <v>-2.0052E-2</v>
      </c>
      <c r="L4" t="s">
        <v>29</v>
      </c>
      <c r="M4">
        <v>478.16</v>
      </c>
      <c r="O4">
        <v>40.06</v>
      </c>
      <c r="P4">
        <f>(O4-Таблица2[[#This Row],[Price]])*Таблица2[[#This Row],[Qty]]</f>
        <v>-847.49999999999977</v>
      </c>
    </row>
    <row r="5" spans="1:16" hidden="1" x14ac:dyDescent="0.25">
      <c r="A5" t="s">
        <v>36</v>
      </c>
      <c r="B5" t="s">
        <v>23</v>
      </c>
      <c r="C5" t="s">
        <v>46</v>
      </c>
      <c r="D5" t="s">
        <v>67</v>
      </c>
      <c r="E5" t="s">
        <v>29</v>
      </c>
      <c r="F5" s="3">
        <v>45560</v>
      </c>
      <c r="G5" t="s">
        <v>103</v>
      </c>
      <c r="H5">
        <v>57.91</v>
      </c>
      <c r="I5">
        <v>2025</v>
      </c>
      <c r="J5">
        <v>100</v>
      </c>
      <c r="K5">
        <v>-1.0052E-2</v>
      </c>
      <c r="L5" t="s">
        <v>29</v>
      </c>
      <c r="M5">
        <v>479.71</v>
      </c>
    </row>
    <row r="6" spans="1:16" hidden="1" x14ac:dyDescent="0.25">
      <c r="A6" t="s">
        <v>36</v>
      </c>
      <c r="B6" t="s">
        <v>23</v>
      </c>
      <c r="C6" t="s">
        <v>46</v>
      </c>
      <c r="D6" t="s">
        <v>67</v>
      </c>
      <c r="E6" t="s">
        <v>29</v>
      </c>
      <c r="F6" s="3">
        <v>45560</v>
      </c>
      <c r="G6" t="s">
        <v>103</v>
      </c>
      <c r="H6">
        <v>58.35</v>
      </c>
      <c r="I6">
        <v>2025</v>
      </c>
      <c r="J6">
        <v>100</v>
      </c>
      <c r="K6">
        <v>-1.0052E-2</v>
      </c>
      <c r="L6" t="s">
        <v>29</v>
      </c>
      <c r="M6">
        <v>479.71</v>
      </c>
    </row>
    <row r="7" spans="1:16" hidden="1" x14ac:dyDescent="0.25">
      <c r="A7" t="s">
        <v>36</v>
      </c>
      <c r="B7" t="s">
        <v>23</v>
      </c>
      <c r="C7" t="s">
        <v>46</v>
      </c>
      <c r="D7" t="s">
        <v>67</v>
      </c>
      <c r="E7" t="s">
        <v>29</v>
      </c>
      <c r="F7" s="3">
        <v>45561</v>
      </c>
      <c r="G7" t="s">
        <v>103</v>
      </c>
      <c r="H7">
        <v>57.01</v>
      </c>
      <c r="I7">
        <v>2025</v>
      </c>
      <c r="J7">
        <v>50</v>
      </c>
      <c r="K7">
        <v>-2.0052E-2</v>
      </c>
      <c r="L7" t="s">
        <v>29</v>
      </c>
      <c r="M7">
        <v>478.16</v>
      </c>
    </row>
    <row r="8" spans="1:16" hidden="1" x14ac:dyDescent="0.25">
      <c r="A8" t="s">
        <v>36</v>
      </c>
      <c r="B8" t="s">
        <v>37</v>
      </c>
      <c r="C8" t="s">
        <v>40</v>
      </c>
      <c r="D8" t="s">
        <v>67</v>
      </c>
      <c r="E8" t="s">
        <v>29</v>
      </c>
      <c r="F8" s="3">
        <v>45751</v>
      </c>
      <c r="G8" t="s">
        <v>103</v>
      </c>
      <c r="H8">
        <v>83.07</v>
      </c>
      <c r="I8">
        <v>2025</v>
      </c>
      <c r="J8">
        <v>100</v>
      </c>
      <c r="K8">
        <v>-1.0035000000000001E-2</v>
      </c>
      <c r="L8" t="s">
        <v>29</v>
      </c>
      <c r="M8">
        <v>501.57</v>
      </c>
    </row>
    <row r="9" spans="1:16" x14ac:dyDescent="0.25">
      <c r="P9">
        <f>SUM(P2:P8)</f>
        <v>-4461.4999999999991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104</v>
      </c>
      <c r="B1" s="1" t="s">
        <v>1</v>
      </c>
      <c r="C1" s="1" t="s">
        <v>51</v>
      </c>
      <c r="D1" s="1" t="s">
        <v>4</v>
      </c>
      <c r="E1" s="1" t="s">
        <v>54</v>
      </c>
      <c r="F1" s="1" t="s">
        <v>52</v>
      </c>
      <c r="G1" s="1" t="s">
        <v>3</v>
      </c>
      <c r="H1" s="1" t="s">
        <v>12</v>
      </c>
      <c r="I1" s="1" t="s">
        <v>53</v>
      </c>
      <c r="J1" s="1" t="s">
        <v>17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65</v>
      </c>
    </row>
    <row r="2" spans="1:15" x14ac:dyDescent="0.25">
      <c r="A2" t="s">
        <v>104</v>
      </c>
      <c r="B2" t="s">
        <v>18</v>
      </c>
      <c r="C2" t="s">
        <v>67</v>
      </c>
      <c r="D2" t="s">
        <v>105</v>
      </c>
      <c r="E2">
        <v>4.92</v>
      </c>
      <c r="F2" s="2">
        <v>45568</v>
      </c>
      <c r="G2" t="s">
        <v>106</v>
      </c>
      <c r="H2">
        <v>2024</v>
      </c>
      <c r="I2" t="s">
        <v>29</v>
      </c>
      <c r="J2" t="s">
        <v>29</v>
      </c>
      <c r="K2">
        <v>483.23</v>
      </c>
      <c r="L2">
        <v>2377.4915999999998</v>
      </c>
      <c r="M2">
        <v>4.92</v>
      </c>
      <c r="N2">
        <v>2377.4915999999998</v>
      </c>
      <c r="O2">
        <v>237.74915999999999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workbookViewId="0">
      <selection activeCell="D15" sqref="D15"/>
    </sheetView>
  </sheetViews>
  <sheetFormatPr defaultRowHeight="15" x14ac:dyDescent="0.25"/>
  <sheetData>
    <row r="1" spans="1:11" x14ac:dyDescent="0.25">
      <c r="A1" s="4" t="s">
        <v>107</v>
      </c>
      <c r="B1" s="5"/>
      <c r="C1" s="5"/>
      <c r="D1" s="5"/>
      <c r="E1" s="5"/>
      <c r="F1" s="5"/>
      <c r="G1" s="5"/>
      <c r="H1" s="5"/>
    </row>
    <row r="2" spans="1:11" x14ac:dyDescent="0.25">
      <c r="A2" s="1" t="s">
        <v>12</v>
      </c>
      <c r="B2" s="1" t="s">
        <v>17</v>
      </c>
      <c r="C2" s="1" t="s">
        <v>51</v>
      </c>
      <c r="D2" s="1" t="s">
        <v>76</v>
      </c>
      <c r="E2" s="1" t="s">
        <v>78</v>
      </c>
      <c r="F2" s="1" t="s">
        <v>60</v>
      </c>
      <c r="G2" s="1" t="s">
        <v>61</v>
      </c>
      <c r="H2" s="1" t="s">
        <v>65</v>
      </c>
    </row>
    <row r="3" spans="1:11" x14ac:dyDescent="0.25">
      <c r="A3" s="1">
        <v>2024</v>
      </c>
      <c r="B3" s="1" t="s">
        <v>29</v>
      </c>
      <c r="C3" s="1" t="s">
        <v>67</v>
      </c>
      <c r="D3">
        <v>110</v>
      </c>
      <c r="E3">
        <v>53114.600000000013</v>
      </c>
      <c r="F3">
        <v>110</v>
      </c>
      <c r="G3">
        <v>53114.600000000013</v>
      </c>
      <c r="H3">
        <v>5311.4600000000009</v>
      </c>
    </row>
    <row r="4" spans="1:11" x14ac:dyDescent="0.25">
      <c r="A4" s="1">
        <v>2025</v>
      </c>
      <c r="B4" s="1" t="s">
        <v>29</v>
      </c>
      <c r="C4" s="1" t="s">
        <v>67</v>
      </c>
      <c r="D4">
        <v>480</v>
      </c>
      <c r="E4">
        <v>0</v>
      </c>
      <c r="F4">
        <v>480</v>
      </c>
      <c r="G4">
        <v>0</v>
      </c>
      <c r="H4">
        <v>0</v>
      </c>
    </row>
    <row r="7" spans="1:11" x14ac:dyDescent="0.25">
      <c r="A7" s="4" t="s">
        <v>108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1" t="s">
        <v>12</v>
      </c>
      <c r="B8" s="1" t="s">
        <v>17</v>
      </c>
      <c r="C8" s="1" t="s">
        <v>51</v>
      </c>
      <c r="D8" s="1" t="s">
        <v>54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65</v>
      </c>
      <c r="K8" s="1" t="s">
        <v>66</v>
      </c>
    </row>
    <row r="9" spans="1:11" x14ac:dyDescent="0.25">
      <c r="A9" s="1">
        <v>2024</v>
      </c>
      <c r="B9" s="1" t="s">
        <v>29</v>
      </c>
      <c r="C9" s="1" t="s">
        <v>67</v>
      </c>
      <c r="D9">
        <v>131.07</v>
      </c>
      <c r="E9">
        <v>68620.387799999997</v>
      </c>
      <c r="F9">
        <v>131.07</v>
      </c>
      <c r="G9">
        <v>68620.387799999997</v>
      </c>
      <c r="H9">
        <v>0</v>
      </c>
      <c r="I9">
        <v>-10292.796399999999</v>
      </c>
      <c r="J9">
        <v>6862.0387799999999</v>
      </c>
      <c r="K9">
        <v>0</v>
      </c>
    </row>
    <row r="10" spans="1:11" x14ac:dyDescent="0.25">
      <c r="A10" s="1">
        <v>2025</v>
      </c>
      <c r="B10" s="1" t="s">
        <v>29</v>
      </c>
      <c r="C10" s="1" t="s">
        <v>67</v>
      </c>
      <c r="D10">
        <v>162.38999999999999</v>
      </c>
      <c r="E10">
        <v>83290.395599999989</v>
      </c>
      <c r="F10">
        <v>162.38999999999999</v>
      </c>
      <c r="G10">
        <v>83290.395599999989</v>
      </c>
      <c r="H10">
        <v>0</v>
      </c>
      <c r="I10">
        <v>-12494.270399999999</v>
      </c>
      <c r="J10">
        <v>8329.0395600000011</v>
      </c>
      <c r="K10">
        <v>0</v>
      </c>
    </row>
    <row r="13" spans="1:11" x14ac:dyDescent="0.25">
      <c r="A13" s="4" t="s">
        <v>109</v>
      </c>
      <c r="B13" s="5"/>
      <c r="C13" s="5"/>
      <c r="D13" s="5"/>
      <c r="E13" s="5"/>
      <c r="F13" s="5"/>
      <c r="G13" s="5"/>
      <c r="H13" s="5"/>
    </row>
    <row r="14" spans="1:11" x14ac:dyDescent="0.25">
      <c r="A14" s="1" t="s">
        <v>12</v>
      </c>
      <c r="B14" s="1" t="s">
        <v>17</v>
      </c>
      <c r="C14" s="1" t="s">
        <v>51</v>
      </c>
      <c r="D14" s="1" t="s">
        <v>54</v>
      </c>
      <c r="E14" s="1" t="s">
        <v>59</v>
      </c>
      <c r="F14" s="1" t="s">
        <v>60</v>
      </c>
      <c r="G14" s="1" t="s">
        <v>61</v>
      </c>
      <c r="H14" s="1" t="s">
        <v>65</v>
      </c>
    </row>
    <row r="15" spans="1:11" x14ac:dyDescent="0.25">
      <c r="A15" s="1">
        <v>2024</v>
      </c>
      <c r="B15" s="1" t="s">
        <v>29</v>
      </c>
      <c r="C15" s="1" t="s">
        <v>67</v>
      </c>
      <c r="D15">
        <v>4.92</v>
      </c>
      <c r="E15">
        <v>2377.4915999999998</v>
      </c>
      <c r="F15">
        <v>4.92</v>
      </c>
      <c r="G15">
        <v>2377.4915999999998</v>
      </c>
      <c r="H15">
        <v>237.74915999999999</v>
      </c>
    </row>
  </sheetData>
  <mergeCells count="3">
    <mergeCell ref="A13:H13"/>
    <mergeCell ref="A7:K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FinInfo</vt:lpstr>
      <vt:lpstr>Dividend</vt:lpstr>
      <vt:lpstr>Fifo</vt:lpstr>
      <vt:lpstr>Trades</vt:lpstr>
      <vt:lpstr>Positions</vt:lpstr>
      <vt:lpstr>Deposits</vt:lpstr>
      <vt:lpstr>Years_Results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Алексей</cp:lastModifiedBy>
  <dcterms:created xsi:type="dcterms:W3CDTF">2025-09-04T09:44:29Z</dcterms:created>
  <dcterms:modified xsi:type="dcterms:W3CDTF">2025-09-04T10:44:09Z</dcterms:modified>
</cp:coreProperties>
</file>